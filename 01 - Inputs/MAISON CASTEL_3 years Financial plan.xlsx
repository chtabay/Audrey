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jet Immo" sheetId="1" r:id="rId1"/>
    <sheet name="Plan de Financement" sheetId="2" r:id="rId2"/>
    <sheet name="Comptes annuels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marc_</author>
  </authors>
  <commentList>
    <comment ref="C6" authorId="0">
      <text>
        <r>
          <rPr>
            <b/>
            <sz val="9"/>
            <rFont val="Times New Roman"/>
            <charset val="0"/>
          </rPr>
          <t>AUDREY_:</t>
        </r>
        <r>
          <rPr>
            <sz val="9"/>
            <rFont val="Times New Roman"/>
            <charset val="0"/>
          </rPr>
          <t xml:space="preserve">
Piece principale = 38m²
Degagement qui pourrait serviir de cuisine pour le resto = 16 m²
Deagement autre entrée avec escalier = 10 m²</t>
        </r>
      </text>
    </comment>
    <comment ref="B38" authorId="0">
      <text>
        <r>
          <rPr>
            <b/>
            <sz val="9"/>
            <rFont val="Times New Roman"/>
            <charset val="0"/>
          </rPr>
          <t>marc_:</t>
        </r>
        <r>
          <rPr>
            <sz val="9"/>
            <rFont val="Times New Roman"/>
            <charset val="0"/>
          </rPr>
          <t xml:space="preserve">
ex: assurance bati</t>
        </r>
      </text>
    </comment>
    <comment ref="B41" authorId="0">
      <text>
        <r>
          <rPr>
            <b/>
            <sz val="9"/>
            <rFont val="Times New Roman"/>
            <charset val="0"/>
          </rPr>
          <t>marc_:</t>
        </r>
        <r>
          <rPr>
            <sz val="9"/>
            <rFont val="Times New Roman"/>
            <charset val="0"/>
          </rPr>
          <t xml:space="preserve">
après travaux - donc pas avant 6/8 mois</t>
        </r>
      </text>
    </comment>
    <comment ref="B42" authorId="0">
      <text>
        <r>
          <rPr>
            <b/>
            <sz val="9"/>
            <rFont val="Times New Roman"/>
            <charset val="0"/>
          </rPr>
          <t>marc_:</t>
        </r>
        <r>
          <rPr>
            <sz val="9"/>
            <rFont val="Times New Roman"/>
            <charset val="0"/>
          </rPr>
          <t xml:space="preserve">
Location Salle</t>
        </r>
      </text>
    </comment>
  </commentList>
</comments>
</file>

<file path=xl/sharedStrings.xml><?xml version="1.0" encoding="utf-8"?>
<sst xmlns="http://schemas.openxmlformats.org/spreadsheetml/2006/main" count="180" uniqueCount="160">
  <si>
    <t>Projet Immo</t>
  </si>
  <si>
    <t>Bien Immo</t>
  </si>
  <si>
    <t>Maison Jaune</t>
  </si>
  <si>
    <t>Resto ( hors cuisine)</t>
  </si>
  <si>
    <t>Bar (hors cuisine)</t>
  </si>
  <si>
    <t>Surface M² RDC</t>
  </si>
  <si>
    <t>V1</t>
  </si>
  <si>
    <t>Offre d'achat FAI</t>
  </si>
  <si>
    <r>
      <rPr>
        <b/>
        <sz val="11"/>
        <color theme="1"/>
        <rFont val="Calibri"/>
        <charset val="134"/>
        <scheme val="minor"/>
      </rPr>
      <t xml:space="preserve">Surface M² étage 
</t>
    </r>
    <r>
      <rPr>
        <b/>
        <sz val="8"/>
        <color theme="1"/>
        <rFont val="Calibri"/>
        <charset val="134"/>
        <scheme val="minor"/>
      </rPr>
      <t>(valorisé)</t>
    </r>
  </si>
  <si>
    <t>prix/m² valorisé</t>
  </si>
  <si>
    <r>
      <rPr>
        <b/>
        <sz val="11"/>
        <color theme="1"/>
        <rFont val="Calibri"/>
        <charset val="134"/>
        <scheme val="minor"/>
      </rPr>
      <t xml:space="preserve">Surface M² comble 
</t>
    </r>
    <r>
      <rPr>
        <b/>
        <sz val="6"/>
        <color theme="1"/>
        <rFont val="Calibri"/>
        <charset val="134"/>
        <scheme val="minor"/>
      </rPr>
      <t>(Non valorisé pour la vente)</t>
    </r>
  </si>
  <si>
    <t>33 ( mais en duplex)</t>
  </si>
  <si>
    <t>N/A</t>
  </si>
  <si>
    <t>65 m²
incl. Cuisine dans m² RDC?</t>
  </si>
  <si>
    <t>total Vente</t>
  </si>
  <si>
    <t>prix de vente (Annoncé)</t>
  </si>
  <si>
    <t>Calculette pret immobilier - Calculatrice credit immobilier - Meilleurtaux</t>
  </si>
  <si>
    <t>Incl. Frais agence</t>
  </si>
  <si>
    <t>https://www.meilleurtaux.com/credit-immobilier/simulation-de-pret-immobilier/calcul-des-mensualites.html</t>
  </si>
  <si>
    <t>QUESTIONS</t>
  </si>
  <si>
    <t>FONCIER?? Amiante?</t>
  </si>
  <si>
    <t>terrain 581m²??
DPE Appart? - Amiante??</t>
  </si>
  <si>
    <t>MAISON JAUNE</t>
  </si>
  <si>
    <t>MJ + BAR</t>
  </si>
  <si>
    <t>MJ+RESTO</t>
  </si>
  <si>
    <t>MJ+RESTO+BAR</t>
  </si>
  <si>
    <t>RENTABILITE BRUTE 
(target 5%)</t>
  </si>
  <si>
    <t>loyer / Cout total acquisition</t>
  </si>
  <si>
    <t>RENDEMENT NET
 (target 6,5%)</t>
  </si>
  <si>
    <t>(loyer - Charges annuelles)/ Cout d'achat total</t>
  </si>
  <si>
    <t>CASH FLOW MENSUEL</t>
  </si>
  <si>
    <t>taux de vacance locative</t>
  </si>
  <si>
    <t>Simulation Achat</t>
  </si>
  <si>
    <t>qualité du locataire</t>
  </si>
  <si>
    <t>s'assurer d'une indexation du bail à mini +2% pour booster l'affaire</t>
  </si>
  <si>
    <t>Simulation FA</t>
  </si>
  <si>
    <t>conditions des baux commerciaux</t>
  </si>
  <si>
    <t>potentiel plus value à la revente à terme</t>
  </si>
  <si>
    <t>Notaire 8,05%</t>
  </si>
  <si>
    <t>frais divers ( Dossier, courtage, ..)</t>
  </si>
  <si>
    <t>Financement perso</t>
  </si>
  <si>
    <t>moi</t>
  </si>
  <si>
    <t>don papa</t>
  </si>
  <si>
    <t>budget</t>
  </si>
  <si>
    <t>remboursement pret avant loyers</t>
  </si>
  <si>
    <t>reste pour travaux après apport aux banques et emprunt le temps de la vacace locative</t>
  </si>
  <si>
    <t>apport</t>
  </si>
  <si>
    <t>BANQUE</t>
  </si>
  <si>
    <t>Emprunt</t>
  </si>
  <si>
    <t>Cout du Credit</t>
  </si>
  <si>
    <t>année</t>
  </si>
  <si>
    <t>annuel</t>
  </si>
  <si>
    <t>Foncier &amp; taxes annuelles</t>
  </si>
  <si>
    <t>frais gestion loyers</t>
  </si>
  <si>
    <t>charge energie</t>
  </si>
  <si>
    <t>Autre Charges</t>
  </si>
  <si>
    <t>Pret</t>
  </si>
  <si>
    <t>3,5% sur 20 ans</t>
  </si>
  <si>
    <t>Loyer actuel/mois</t>
  </si>
  <si>
    <t>Loyer potentiel/mois</t>
  </si>
  <si>
    <t>Rvenu annexe</t>
  </si>
  <si>
    <t>Revenu annuels</t>
  </si>
  <si>
    <t>Benefice/pertes</t>
  </si>
  <si>
    <r>
      <rPr>
        <sz val="11"/>
        <color theme="1"/>
        <rFont val="Calibri"/>
        <charset val="134"/>
        <scheme val="minor"/>
      </rPr>
      <t>Charge anuelles 
(</t>
    </r>
    <r>
      <rPr>
        <sz val="11"/>
        <color rgb="FFFF0000"/>
        <rFont val="Calibri"/>
        <charset val="134"/>
        <scheme val="minor"/>
      </rPr>
      <t>Incl. 30% IR</t>
    </r>
    <r>
      <rPr>
        <sz val="11"/>
        <color theme="1"/>
        <rFont val="Calibri"/>
        <charset val="134"/>
        <scheme val="minor"/>
      </rPr>
      <t>)</t>
    </r>
  </si>
  <si>
    <t>Benefice/pertes annuelles après impot</t>
  </si>
  <si>
    <t>V2</t>
  </si>
  <si>
    <t>Loyer bar augmenté avec Cuisine</t>
  </si>
  <si>
    <t>RDC maison jaune + Appart refait et loué</t>
  </si>
  <si>
    <t>Avant Impots&gt;&gt;</t>
  </si>
  <si>
    <t>loyer pour surface du haut et loc resto</t>
  </si>
  <si>
    <t>Plan de financement</t>
  </si>
  <si>
    <t>PLAN DE FINANCEMENT INITIAL</t>
  </si>
  <si>
    <t>PLAN DE TRESORERIE</t>
  </si>
  <si>
    <t xml:space="preserve">Taux de Marge </t>
  </si>
  <si>
    <t>COMPTE DE RESULTAT</t>
  </si>
  <si>
    <t>Cout des marchandises</t>
  </si>
  <si>
    <t>Achat /mois</t>
  </si>
  <si>
    <t>SEUIL DE RENTABILITE</t>
  </si>
  <si>
    <t>point mort en J</t>
  </si>
  <si>
    <t xml:space="preserve">charges fixes </t>
  </si>
  <si>
    <t>cout moyen d'un article</t>
  </si>
  <si>
    <t>FLUX DE TRESO ESTIME (Capacité de remboursement)</t>
  </si>
  <si>
    <t>marge brute vs. CA</t>
  </si>
  <si>
    <t>nombre d'articles en stock</t>
  </si>
  <si>
    <t>Benefice BRUT sur CA</t>
  </si>
  <si>
    <t>INDICATEURS DE PERFORMANCE</t>
  </si>
  <si>
    <t>seuil de rentabilité</t>
  </si>
  <si>
    <t>Ratio de Rentabilité Objectif</t>
  </si>
  <si>
    <t>charges fixes</t>
  </si>
  <si>
    <t>CA estimé</t>
  </si>
  <si>
    <t>Robustesse du projet pendant sa phase d'endettement</t>
  </si>
  <si>
    <t>charges variables</t>
  </si>
  <si>
    <t>Délais du retour sur Investissement ( RoI)</t>
  </si>
  <si>
    <t>chiffre d'affaires</t>
  </si>
  <si>
    <t>seuil de rentabilité= charges fixes / [ ( chiffre d’affaires – charges variables ) / chiffre d’affaires ]</t>
  </si>
  <si>
    <t>Tresorerie</t>
  </si>
  <si>
    <t>Compte de Resultat Prévisionnel annuel Brut ( avant impots)</t>
  </si>
  <si>
    <t>BESOIN</t>
  </si>
  <si>
    <t>RESSOURCES</t>
  </si>
  <si>
    <t>Chiffre d'affaires ( Ventes)</t>
  </si>
  <si>
    <t>Travaux d'aménagement ( Accessibilité/securité ERP, Peinture, elec, sol ...)</t>
  </si>
  <si>
    <t>apport personnel ( capital?)</t>
  </si>
  <si>
    <t>Achat/fournitures</t>
  </si>
  <si>
    <t>Achat Materiel ( Ordi / comptoir caisse/ logitiel caisse)</t>
  </si>
  <si>
    <t>Pret bancaire</t>
  </si>
  <si>
    <t>loyer</t>
  </si>
  <si>
    <t>Mobilier ( étagères) /amenagement ( luminaire LED, ventilateurs, zone d etri, réparation..)</t>
  </si>
  <si>
    <t>Subvention de la collectivité</t>
  </si>
  <si>
    <t>Salaires Brute &amp; Charges type URSAF (30%)</t>
  </si>
  <si>
    <t>Stock consommable de départ</t>
  </si>
  <si>
    <t>Frais Divers ( Assurance, banque, ...)</t>
  </si>
  <si>
    <t>Frais de création / immatriculation société</t>
  </si>
  <si>
    <t>Energie</t>
  </si>
  <si>
    <t>Besoin en fond de roulement ( 3 mois)</t>
  </si>
  <si>
    <t>TOTAL TRESO INITIALE</t>
  </si>
  <si>
    <t>Mois par mois</t>
  </si>
  <si>
    <t>Panier Moyen mensuel</t>
  </si>
  <si>
    <t>% Total CA annuel</t>
  </si>
  <si>
    <t>Client Castel ( 10% des 78% actifs Castl)</t>
  </si>
  <si>
    <t>Visite par jour si ouvert 3j/sem &gt;</t>
  </si>
  <si>
    <t>JANV N</t>
  </si>
  <si>
    <t>CA mensuel sur cette hypothèse</t>
  </si>
  <si>
    <t>FEV N</t>
  </si>
  <si>
    <t>MARS N</t>
  </si>
  <si>
    <t>AVRIL N</t>
  </si>
  <si>
    <t>MAI N</t>
  </si>
  <si>
    <t>HYPOTHESES</t>
  </si>
  <si>
    <t>JUIN N</t>
  </si>
  <si>
    <t>Scenari</t>
  </si>
  <si>
    <t>Prudent</t>
  </si>
  <si>
    <t>median</t>
  </si>
  <si>
    <t>ambitieux</t>
  </si>
  <si>
    <t>JUILLET N</t>
  </si>
  <si>
    <t>Nombre de Clients reguliers</t>
  </si>
  <si>
    <t>AOUT N</t>
  </si>
  <si>
    <t>Part de la population ( Actifs de Castel) en%</t>
  </si>
  <si>
    <t>SEPT N</t>
  </si>
  <si>
    <t>Frequence de visite /mois/pers</t>
  </si>
  <si>
    <t>OCT N</t>
  </si>
  <si>
    <t>Panier Moyen par visite</t>
  </si>
  <si>
    <t>NOV N</t>
  </si>
  <si>
    <t>DEC N</t>
  </si>
  <si>
    <t>extrait : PIC.org</t>
  </si>
  <si>
    <t>Présentation des comptes de l’association où devront apparaître chaque année :</t>
  </si>
  <si>
    <t>Pour les recettes :</t>
  </si>
  <si>
    <t>le total des dons et la répartition collectivités/particuliers</t>
  </si>
  <si>
    <t>le total des subventions et leur détail</t>
  </si>
  <si>
    <t>le total des adhésions individuelles</t>
  </si>
  <si>
    <t>le total des adhésions associatives</t>
  </si>
  <si>
    <t>le total des des cotisations associatives non-réglées</t>
  </si>
  <si>
    <t>Pour les services particuliers souscrits en marges des adhésions (domaines, services spéciaux), le total des prévisions et capacités d’y répondre.</t>
  </si>
  <si>
    <t>Pour les dépenses :</t>
  </si>
  <si>
    <t>séparées clairement, les répartitions budgétaires propres aux services aux associations et propres aux services au grand public</t>
  </si>
  <si>
    <t>rendue lisible : toute dépense se rapportant aux hébergements et aux services associés</t>
  </si>
  <si>
    <t>rendu lisible : tout frais associé à l’investissement et à la maintenance des équipements liés aux initiations</t>
  </si>
  <si>
    <t>rendu lisible : tout frais associé aux rafraîchissements dispensés lors des initiations.</t>
  </si>
  <si>
    <t>rendu lisible : tout frais associé à la promotion du PIC par tout autre moyen que gratuit via Internet.</t>
  </si>
  <si>
    <t>rendus lisibles et à titre prévisionnel : les frais relevant de la gestion sociale du PIC (envoi des reçus si postaux, par exemple).</t>
  </si>
  <si>
    <t>TO DO</t>
  </si>
  <si>
    <t xml:space="preserve"> Calculer surface nécessaire au projet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</si>
</sst>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€&quot;#,##0;\-&quot;€&quot;#,##0"/>
    <numFmt numFmtId="7" formatCode="&quot;€&quot;#,##0.00;\-&quot;€&quot;#,##0.00"/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_ "/>
  </numFmts>
  <fonts count="36">
    <font>
      <sz val="11"/>
      <color theme="1"/>
      <name val="Calibri"/>
      <charset val="134"/>
      <scheme val="minor"/>
    </font>
    <font>
      <i/>
      <sz val="11"/>
      <color theme="5" tint="-0.25"/>
      <name val="Calibri"/>
      <charset val="134"/>
      <scheme val="minor"/>
    </font>
    <font>
      <sz val="10.9"/>
      <color rgb="FF000000"/>
      <name val="Arial"/>
      <charset val="134"/>
    </font>
    <font>
      <b/>
      <sz val="26"/>
      <color theme="4"/>
      <name val="Comic Sans MS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 tint="0.5"/>
      <name val="Calibri"/>
      <charset val="134"/>
      <scheme val="minor"/>
    </font>
    <font>
      <b/>
      <sz val="11"/>
      <color theme="1" tint="0.5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6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88DB2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CF9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10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7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6">
      <alignment vertical="center"/>
    </xf>
    <xf numFmtId="0" fontId="0" fillId="0" borderId="0" xfId="0" applyAlignment="1">
      <alignment horizontal="right" vertical="center"/>
    </xf>
    <xf numFmtId="2" fontId="5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5" fontId="0" fillId="2" borderId="1" xfId="0" applyNumberFormat="1" applyFill="1" applyBorder="1">
      <alignment vertical="center"/>
    </xf>
    <xf numFmtId="5" fontId="0" fillId="0" borderId="1" xfId="0" applyNumberForma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5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  <xf numFmtId="5" fontId="0" fillId="0" borderId="0" xfId="0" applyNumberFormat="1">
      <alignment vertical="center"/>
    </xf>
    <xf numFmtId="0" fontId="8" fillId="0" borderId="1" xfId="0" applyFont="1" applyBorder="1" applyAlignment="1">
      <alignment horizontal="right" vertical="center"/>
    </xf>
    <xf numFmtId="178" fontId="0" fillId="0" borderId="1" xfId="0" applyNumberFormat="1" applyBorder="1">
      <alignment vertical="center"/>
    </xf>
    <xf numFmtId="0" fontId="9" fillId="0" borderId="0" xfId="0" applyFont="1" applyAlignment="1">
      <alignment horizontal="center" vertical="center"/>
    </xf>
    <xf numFmtId="5" fontId="0" fillId="0" borderId="0" xfId="0" applyNumberFormat="1" applyAlignment="1">
      <alignment horizontal="center" vertical="center"/>
    </xf>
    <xf numFmtId="9" fontId="10" fillId="0" borderId="0" xfId="3" applyFont="1" applyAlignment="1">
      <alignment horizontal="center" vertical="center"/>
    </xf>
    <xf numFmtId="5" fontId="0" fillId="3" borderId="0" xfId="0" applyNumberFormat="1" applyFill="1" applyAlignment="1">
      <alignment horizontal="center" vertical="center"/>
    </xf>
    <xf numFmtId="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" fontId="11" fillId="4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5" fontId="0" fillId="2" borderId="0" xfId="0" applyNumberFormat="1" applyFill="1">
      <alignment vertical="center"/>
    </xf>
    <xf numFmtId="5" fontId="5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178" fontId="0" fillId="0" borderId="0" xfId="0" applyNumberFormat="1">
      <alignment vertical="center"/>
    </xf>
    <xf numFmtId="0" fontId="0" fillId="5" borderId="1" xfId="0" applyFill="1" applyBorder="1">
      <alignment vertical="center"/>
    </xf>
    <xf numFmtId="5" fontId="0" fillId="5" borderId="1" xfId="0" applyNumberForma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NumberFormat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right" vertical="center" wrapText="1"/>
    </xf>
    <xf numFmtId="10" fontId="0" fillId="0" borderId="0" xfId="3" applyNumberFormat="1">
      <alignment vertical="center"/>
    </xf>
    <xf numFmtId="0" fontId="0" fillId="10" borderId="0" xfId="0" applyFill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178" fontId="12" fillId="0" borderId="0" xfId="0" applyNumberFormat="1" applyFont="1">
      <alignment vertical="center"/>
    </xf>
    <xf numFmtId="178" fontId="12" fillId="8" borderId="0" xfId="0" applyNumberFormat="1" applyFont="1" applyFill="1">
      <alignment vertical="center"/>
    </xf>
    <xf numFmtId="178" fontId="0" fillId="8" borderId="0" xfId="0" applyNumberFormat="1" applyFill="1">
      <alignment vertical="center"/>
    </xf>
    <xf numFmtId="0" fontId="0" fillId="0" borderId="0" xfId="0" applyAlignment="1">
      <alignment horizontal="left" vertical="center"/>
    </xf>
    <xf numFmtId="178" fontId="6" fillId="0" borderId="0" xfId="0" applyNumberFormat="1" applyFont="1">
      <alignment vertical="center"/>
    </xf>
    <xf numFmtId="10" fontId="0" fillId="8" borderId="0" xfId="3" applyNumberFormat="1" applyFill="1">
      <alignment vertical="center"/>
    </xf>
    <xf numFmtId="0" fontId="6" fillId="0" borderId="0" xfId="0" applyFont="1">
      <alignment vertical="center"/>
    </xf>
    <xf numFmtId="0" fontId="0" fillId="8" borderId="0" xfId="0" applyFill="1">
      <alignment vertical="center"/>
    </xf>
    <xf numFmtId="9" fontId="0" fillId="0" borderId="0" xfId="3">
      <alignment vertical="center"/>
    </xf>
    <xf numFmtId="0" fontId="0" fillId="2" borderId="0" xfId="0" applyFill="1" applyAlignment="1">
      <alignment horizontal="center" vertical="center"/>
    </xf>
    <xf numFmtId="178" fontId="5" fillId="2" borderId="0" xfId="0" applyNumberFormat="1" applyFont="1" applyFill="1">
      <alignment vertical="center"/>
    </xf>
    <xf numFmtId="0" fontId="0" fillId="2" borderId="0" xfId="0" applyFill="1">
      <alignment vertical="center"/>
    </xf>
    <xf numFmtId="9" fontId="0" fillId="0" borderId="0" xfId="0" applyNumberFormat="1" applyFont="1" applyFill="1" applyBorder="1" applyAlignment="1" applyProtection="1">
      <alignment horizontal="center" vertical="center"/>
    </xf>
    <xf numFmtId="178" fontId="13" fillId="12" borderId="0" xfId="0" applyNumberFormat="1" applyFont="1" applyFill="1">
      <alignment vertical="center"/>
    </xf>
    <xf numFmtId="0" fontId="5" fillId="0" borderId="0" xfId="0" applyFont="1" applyAlignment="1">
      <alignment horizontal="center" vertical="center" wrapText="1"/>
    </xf>
    <xf numFmtId="0" fontId="0" fillId="8" borderId="1" xfId="0" applyFill="1" applyBorder="1">
      <alignment vertical="center"/>
    </xf>
    <xf numFmtId="0" fontId="9" fillId="0" borderId="1" xfId="0" applyFont="1" applyBorder="1">
      <alignment vertical="center"/>
    </xf>
    <xf numFmtId="0" fontId="9" fillId="8" borderId="1" xfId="0" applyFont="1" applyFill="1" applyBorder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8" fontId="0" fillId="0" borderId="5" xfId="0" applyNumberFormat="1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178" fontId="0" fillId="8" borderId="1" xfId="0" applyNumberFormat="1" applyFill="1" applyBorder="1">
      <alignment vertical="center"/>
    </xf>
    <xf numFmtId="0" fontId="14" fillId="0" borderId="0" xfId="6" applyFont="1">
      <alignment vertical="center"/>
    </xf>
    <xf numFmtId="0" fontId="0" fillId="4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8" borderId="1" xfId="0" applyFill="1" applyBorder="1" applyAlignment="1">
      <alignment horizontal="center" vertical="center" wrapText="1"/>
    </xf>
    <xf numFmtId="10" fontId="0" fillId="4" borderId="1" xfId="3" applyNumberFormat="1" applyFill="1" applyBorder="1">
      <alignment vertical="center"/>
    </xf>
    <xf numFmtId="10" fontId="0" fillId="13" borderId="1" xfId="3" applyNumberFormat="1" applyFill="1" applyBorder="1">
      <alignment vertical="center"/>
    </xf>
    <xf numFmtId="7" fontId="0" fillId="4" borderId="1" xfId="0" applyNumberFormat="1" applyFill="1" applyBorder="1">
      <alignment vertical="center"/>
    </xf>
    <xf numFmtId="7" fontId="0" fillId="13" borderId="1" xfId="0" applyNumberFormat="1" applyFill="1" applyBorder="1">
      <alignment vertical="center"/>
    </xf>
    <xf numFmtId="0" fontId="5" fillId="0" borderId="0" xfId="0" applyFont="1">
      <alignment vertical="center"/>
    </xf>
    <xf numFmtId="0" fontId="0" fillId="11" borderId="1" xfId="0" applyFill="1" applyBorder="1" applyAlignment="1">
      <alignment horizontal="center" vertical="center" wrapText="1"/>
    </xf>
    <xf numFmtId="178" fontId="0" fillId="11" borderId="1" xfId="0" applyNumberForma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14" borderId="1" xfId="0" applyFill="1" applyBorder="1">
      <alignment vertical="center"/>
    </xf>
    <xf numFmtId="178" fontId="0" fillId="7" borderId="1" xfId="0" applyNumberFormat="1" applyFill="1" applyBorder="1">
      <alignment vertical="center"/>
    </xf>
    <xf numFmtId="178" fontId="5" fillId="0" borderId="1" xfId="0" applyNumberFormat="1" applyFont="1" applyBorder="1">
      <alignment vertical="center"/>
    </xf>
    <xf numFmtId="178" fontId="5" fillId="14" borderId="1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AFCF9"/>
      <color rgb="0088DB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illeurtaux.com/credit-immobilier/simulation-de-pret-immobilier/calcul-des-mensualites.htm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workbookViewId="0">
      <pane ySplit="1" topLeftCell="A18" activePane="bottomLeft" state="frozen"/>
      <selection/>
      <selection pane="bottomLeft" activeCell="E52" sqref="E52"/>
    </sheetView>
  </sheetViews>
  <sheetFormatPr defaultColWidth="9.14285714285714" defaultRowHeight="15"/>
  <cols>
    <col min="1" max="1" width="15" customWidth="1"/>
    <col min="2" max="2" width="23.4285714285714" style="34" customWidth="1"/>
    <col min="3" max="5" width="27.1428571428571" customWidth="1"/>
    <col min="7" max="7" width="18" customWidth="1"/>
    <col min="8" max="8" width="12.8571428571429"/>
    <col min="9" max="9" width="30.8571428571429" customWidth="1"/>
    <col min="10" max="10" width="9.14285714285714" customWidth="1"/>
    <col min="11" max="14" width="19.5714285714286" customWidth="1"/>
    <col min="16" max="17" width="12.8571428571429"/>
  </cols>
  <sheetData>
    <row r="1" ht="40.5" spans="1:1">
      <c r="A1" s="5" t="s">
        <v>0</v>
      </c>
    </row>
    <row r="5" spans="2:5">
      <c r="B5" s="43" t="s">
        <v>1</v>
      </c>
      <c r="C5" s="43" t="s">
        <v>2</v>
      </c>
      <c r="D5" s="43" t="s">
        <v>3</v>
      </c>
      <c r="E5" s="43" t="s">
        <v>4</v>
      </c>
    </row>
    <row r="6" ht="36" customHeight="1" spans="2:12">
      <c r="B6" s="44" t="s">
        <v>5</v>
      </c>
      <c r="C6" s="45">
        <v>60</v>
      </c>
      <c r="D6" s="45">
        <v>104</v>
      </c>
      <c r="E6" s="45">
        <v>67</v>
      </c>
      <c r="H6" s="46" t="s">
        <v>6</v>
      </c>
      <c r="I6" s="71" t="s">
        <v>7</v>
      </c>
      <c r="J6" s="71">
        <v>235000</v>
      </c>
      <c r="K6" s="71">
        <v>215000</v>
      </c>
      <c r="L6" s="71">
        <v>235000</v>
      </c>
    </row>
    <row r="7" ht="36" customHeight="1" spans="2:12">
      <c r="B7" s="44" t="s">
        <v>8</v>
      </c>
      <c r="C7" s="45">
        <f>143-60</f>
        <v>83</v>
      </c>
      <c r="D7" s="45"/>
      <c r="E7" s="45">
        <f>135-67</f>
        <v>68</v>
      </c>
      <c r="H7" s="46"/>
      <c r="I7" s="71" t="s">
        <v>9</v>
      </c>
      <c r="J7" s="79">
        <v>1643.35664335664</v>
      </c>
      <c r="K7" s="79">
        <v>2067.30769230769</v>
      </c>
      <c r="L7" s="79">
        <v>1740.74074074074</v>
      </c>
    </row>
    <row r="8" ht="36" customHeight="1" spans="2:5">
      <c r="B8" s="44" t="s">
        <v>10</v>
      </c>
      <c r="C8" s="10" t="s">
        <v>11</v>
      </c>
      <c r="D8" s="10" t="s">
        <v>12</v>
      </c>
      <c r="E8" s="47" t="s">
        <v>13</v>
      </c>
    </row>
    <row r="10" spans="2:5">
      <c r="B10" s="34" t="s">
        <v>14</v>
      </c>
      <c r="C10" s="34">
        <f>C6+C7</f>
        <v>143</v>
      </c>
      <c r="D10" s="34">
        <f>D6+D7</f>
        <v>104</v>
      </c>
      <c r="E10" s="34">
        <f>E6+E7</f>
        <v>135</v>
      </c>
    </row>
    <row r="12" spans="2:9">
      <c r="B12" s="44" t="s">
        <v>15</v>
      </c>
      <c r="C12" s="10">
        <v>265000</v>
      </c>
      <c r="D12" s="10">
        <v>215000</v>
      </c>
      <c r="E12" s="10">
        <v>265000</v>
      </c>
      <c r="G12" s="48">
        <f>SUM(C12:E12)</f>
        <v>745000</v>
      </c>
      <c r="I12" t="s">
        <v>16</v>
      </c>
    </row>
    <row r="13" spans="2:9">
      <c r="B13" s="49" t="s">
        <v>17</v>
      </c>
      <c r="C13" s="50">
        <v>15000</v>
      </c>
      <c r="D13" s="50">
        <v>15000</v>
      </c>
      <c r="E13" s="50">
        <v>15000</v>
      </c>
      <c r="G13" s="48">
        <f>SUM(C13:E13)</f>
        <v>45000</v>
      </c>
      <c r="H13" s="51">
        <f>G13/G12</f>
        <v>0.0604026845637584</v>
      </c>
      <c r="I13" s="80" t="s">
        <v>18</v>
      </c>
    </row>
    <row r="15" ht="30" spans="2:5">
      <c r="B15" s="52" t="s">
        <v>19</v>
      </c>
      <c r="C15" s="53" t="s">
        <v>20</v>
      </c>
      <c r="D15" s="53"/>
      <c r="E15" s="54" t="s">
        <v>21</v>
      </c>
    </row>
    <row r="16" spans="9:14">
      <c r="I16" s="71"/>
      <c r="J16" s="71"/>
      <c r="K16" s="81" t="s">
        <v>22</v>
      </c>
      <c r="L16" s="81" t="s">
        <v>23</v>
      </c>
      <c r="M16" s="82" t="s">
        <v>24</v>
      </c>
      <c r="N16" s="82" t="s">
        <v>25</v>
      </c>
    </row>
    <row r="17" ht="30" spans="9:14">
      <c r="I17" s="83" t="s">
        <v>26</v>
      </c>
      <c r="J17" s="73" t="s">
        <v>27</v>
      </c>
      <c r="K17" s="84">
        <f>C44/(C28+I30)</f>
        <v>0.0607218651042335</v>
      </c>
      <c r="L17" s="84">
        <f>(C44+E44)/(C28+I30+E28)</f>
        <v>0.082529371826496</v>
      </c>
      <c r="M17" s="85">
        <f>(C44+D44)/(C28+I30+D28)</f>
        <v>0.0632041121291512</v>
      </c>
      <c r="N17" s="85">
        <f>(C44+D44+E44)/(G28+I30)</f>
        <v>0.0785745086767392</v>
      </c>
    </row>
    <row r="18" ht="30" spans="2:14">
      <c r="B18" s="55" t="s">
        <v>7</v>
      </c>
      <c r="C18" s="56">
        <f>C22+C23</f>
        <v>233000</v>
      </c>
      <c r="D18" s="57">
        <f>D22+D23</f>
        <v>195000</v>
      </c>
      <c r="E18" s="56">
        <f>E22+E23</f>
        <v>250000</v>
      </c>
      <c r="F18" s="56"/>
      <c r="G18" s="56">
        <f>C18+D18+E18</f>
        <v>678000</v>
      </c>
      <c r="I18" s="83" t="s">
        <v>28</v>
      </c>
      <c r="J18" s="73" t="s">
        <v>29</v>
      </c>
      <c r="K18" s="84">
        <f>C47/(C28+I30)</f>
        <v>0.00155998638639597</v>
      </c>
      <c r="L18" s="84">
        <f>(C47+E47)/(C28+E28+I30)</f>
        <v>0.00250456060747437</v>
      </c>
      <c r="M18" s="85">
        <f>(C47+D47)/(C28+D28+I30)</f>
        <v>-0.0108239835826128</v>
      </c>
      <c r="N18" s="85">
        <f>(C47+D47+E47)/(G28+I30)</f>
        <v>-0.00603536176909045</v>
      </c>
    </row>
    <row r="19" spans="2:14">
      <c r="B19" s="34" t="s">
        <v>9</v>
      </c>
      <c r="C19" s="40">
        <f>C18/C10</f>
        <v>1629.37062937063</v>
      </c>
      <c r="D19" s="58">
        <f>D18/D10</f>
        <v>1875</v>
      </c>
      <c r="E19" s="40">
        <f>E18/E10</f>
        <v>1851.85185185185</v>
      </c>
      <c r="F19" s="40"/>
      <c r="G19" s="40"/>
      <c r="I19" s="71" t="s">
        <v>30</v>
      </c>
      <c r="J19" s="71"/>
      <c r="K19" s="86">
        <f>(C47/12)</f>
        <v>43.6741666666667</v>
      </c>
      <c r="L19" s="86">
        <f>(C47+E47)/12</f>
        <v>126.245625</v>
      </c>
      <c r="M19" s="87">
        <f>(C47+D47)/12</f>
        <v>-492.356458333333</v>
      </c>
      <c r="N19" s="87">
        <f>(C47+D47+E47)/12</f>
        <v>-409.785</v>
      </c>
    </row>
    <row r="20" spans="3:7">
      <c r="C20" s="40"/>
      <c r="D20" s="58"/>
      <c r="E20" s="40"/>
      <c r="F20" s="40"/>
      <c r="G20" s="40"/>
    </row>
    <row r="21" spans="3:9">
      <c r="C21" s="40"/>
      <c r="D21" s="58"/>
      <c r="E21" s="40"/>
      <c r="F21" s="40"/>
      <c r="G21" s="40"/>
      <c r="I21" s="88" t="s">
        <v>31</v>
      </c>
    </row>
    <row r="22" spans="2:11">
      <c r="B22" s="59" t="s">
        <v>32</v>
      </c>
      <c r="C22" s="60">
        <v>220000</v>
      </c>
      <c r="D22" s="58">
        <v>185000</v>
      </c>
      <c r="E22" s="60">
        <v>235000</v>
      </c>
      <c r="F22" s="40"/>
      <c r="G22" s="40">
        <f>C22+D22+E22</f>
        <v>640000</v>
      </c>
      <c r="I22" s="88" t="s">
        <v>33</v>
      </c>
      <c r="K22" s="88" t="s">
        <v>34</v>
      </c>
    </row>
    <row r="23" spans="2:9">
      <c r="B23" s="59" t="s">
        <v>35</v>
      </c>
      <c r="C23" s="60">
        <v>13000</v>
      </c>
      <c r="D23" s="58">
        <v>10000</v>
      </c>
      <c r="E23" s="60">
        <v>15000</v>
      </c>
      <c r="F23" s="40"/>
      <c r="G23" s="40">
        <f>C23+D23+E23</f>
        <v>38000</v>
      </c>
      <c r="I23" s="88" t="s">
        <v>36</v>
      </c>
    </row>
    <row r="24" spans="2:9">
      <c r="B24" s="59"/>
      <c r="C24" s="51">
        <f t="shared" ref="C24:G24" si="0">C23/C22</f>
        <v>0.0590909090909091</v>
      </c>
      <c r="D24" s="61">
        <f t="shared" si="0"/>
        <v>0.0540540540540541</v>
      </c>
      <c r="E24" s="51">
        <f t="shared" si="0"/>
        <v>0.0638297872340425</v>
      </c>
      <c r="F24" s="40"/>
      <c r="G24" s="51">
        <f>G23/G22</f>
        <v>0.059375</v>
      </c>
      <c r="I24" s="88" t="s">
        <v>37</v>
      </c>
    </row>
    <row r="25" spans="2:7">
      <c r="B25" s="59" t="s">
        <v>38</v>
      </c>
      <c r="C25" s="40">
        <f>8.05*C22/100</f>
        <v>17710</v>
      </c>
      <c r="D25" s="58">
        <f>8.05*D22/100</f>
        <v>14892.5</v>
      </c>
      <c r="E25" s="40">
        <f>8.05*E22/100</f>
        <v>18917.5</v>
      </c>
      <c r="F25" s="40"/>
      <c r="G25" s="40">
        <f>C25+D25+E25</f>
        <v>51520</v>
      </c>
    </row>
    <row r="26" spans="2:11">
      <c r="B26" s="59" t="s">
        <v>39</v>
      </c>
      <c r="C26" s="62">
        <v>2500</v>
      </c>
      <c r="D26" s="63">
        <v>0</v>
      </c>
      <c r="E26" s="62">
        <v>0</v>
      </c>
      <c r="I26" t="s">
        <v>40</v>
      </c>
      <c r="J26">
        <v>120000</v>
      </c>
      <c r="K26" t="s">
        <v>41</v>
      </c>
    </row>
    <row r="27" spans="2:11">
      <c r="B27" s="59"/>
      <c r="D27" s="63"/>
      <c r="I27">
        <f>J26+J27</f>
        <v>220000</v>
      </c>
      <c r="J27">
        <v>100000</v>
      </c>
      <c r="K27" t="s">
        <v>42</v>
      </c>
    </row>
    <row r="28" spans="2:10">
      <c r="B28" s="59" t="s">
        <v>43</v>
      </c>
      <c r="C28" s="40">
        <f>C22+C23+C25+C26</f>
        <v>253210</v>
      </c>
      <c r="D28" s="58">
        <f>D22+D23+D25+D26</f>
        <v>209892.5</v>
      </c>
      <c r="E28" s="40">
        <f>E22+E23+E25+E26</f>
        <v>268917.5</v>
      </c>
      <c r="F28" s="40"/>
      <c r="G28" s="40">
        <f>C28+D28+E28</f>
        <v>732020</v>
      </c>
      <c r="I28" t="s">
        <v>44</v>
      </c>
      <c r="J28" s="40">
        <f>C34*8</f>
        <v>7251.94</v>
      </c>
    </row>
    <row r="29" ht="45" spans="3:9">
      <c r="C29" s="64">
        <f>C30/C28</f>
        <v>0.394929110224715</v>
      </c>
      <c r="E29" s="64">
        <f>E30/E28</f>
        <v>0.111558377569329</v>
      </c>
      <c r="I29" s="89" t="s">
        <v>45</v>
      </c>
    </row>
    <row r="30" spans="2:9">
      <c r="B30" s="34" t="s">
        <v>46</v>
      </c>
      <c r="C30" s="62">
        <v>100000</v>
      </c>
      <c r="D30" s="40"/>
      <c r="E30" s="62">
        <v>30000</v>
      </c>
      <c r="G30" s="40">
        <f>C30+D30+E30</f>
        <v>130000</v>
      </c>
      <c r="I30" s="90">
        <f>I27-G30-J28</f>
        <v>82748.06</v>
      </c>
    </row>
    <row r="31" spans="1:7">
      <c r="A31" t="s">
        <v>47</v>
      </c>
      <c r="B31" s="65" t="s">
        <v>48</v>
      </c>
      <c r="C31" s="66">
        <f>C28-C30</f>
        <v>153210</v>
      </c>
      <c r="D31" s="66">
        <f>D28-D30</f>
        <v>209892.5</v>
      </c>
      <c r="E31" s="66">
        <f>E28-E30</f>
        <v>238917.5</v>
      </c>
      <c r="F31" s="67"/>
      <c r="G31" s="67"/>
    </row>
    <row r="33" spans="1:5">
      <c r="A33" s="7" t="s">
        <v>49</v>
      </c>
      <c r="B33" s="68">
        <v>0.42</v>
      </c>
      <c r="C33" s="40">
        <f>$B$33*C31</f>
        <v>64348.2</v>
      </c>
      <c r="D33" s="58">
        <f>$B$33*D31</f>
        <v>88154.85</v>
      </c>
      <c r="E33" s="40">
        <f>$B$33*E31</f>
        <v>100345.35</v>
      </c>
    </row>
    <row r="34" spans="1:7">
      <c r="A34" s="7" t="s">
        <v>50</v>
      </c>
      <c r="B34" s="34">
        <v>20</v>
      </c>
      <c r="C34" s="69">
        <f>(C31+C33)/($B$34*12)</f>
        <v>906.4925</v>
      </c>
      <c r="D34" s="69">
        <f>(D31+D33)/($B$34*12)</f>
        <v>1241.86395833333</v>
      </c>
      <c r="E34" s="69">
        <f>(E31+E33)/($B$34*12)</f>
        <v>1413.59520833333</v>
      </c>
      <c r="G34" s="40">
        <f>C34+D34+E34</f>
        <v>3561.95166666667</v>
      </c>
    </row>
    <row r="35" spans="1:5">
      <c r="A35" s="34" t="s">
        <v>51</v>
      </c>
      <c r="B35" s="70" t="s">
        <v>52</v>
      </c>
      <c r="C35">
        <v>1600</v>
      </c>
      <c r="D35" s="63">
        <v>300</v>
      </c>
      <c r="E35">
        <v>900</v>
      </c>
    </row>
    <row r="36" spans="1:5">
      <c r="A36" s="34"/>
      <c r="B36" s="70" t="s">
        <v>53</v>
      </c>
      <c r="C36">
        <f>7%*(450*12)</f>
        <v>378</v>
      </c>
      <c r="D36" s="63"/>
      <c r="E36">
        <f>7%*(1500*12)</f>
        <v>1260</v>
      </c>
    </row>
    <row r="37" spans="1:12">
      <c r="A37" s="34"/>
      <c r="B37" s="70" t="s">
        <v>54</v>
      </c>
      <c r="C37">
        <v>200</v>
      </c>
      <c r="D37" s="63">
        <v>800</v>
      </c>
      <c r="E37">
        <v>50</v>
      </c>
      <c r="I37" t="s">
        <v>46</v>
      </c>
      <c r="J37">
        <v>37000</v>
      </c>
      <c r="K37">
        <v>33000</v>
      </c>
      <c r="L37">
        <v>35000</v>
      </c>
    </row>
    <row r="38" spans="1:12">
      <c r="A38" s="34"/>
      <c r="B38" s="70" t="s">
        <v>55</v>
      </c>
      <c r="C38">
        <v>700</v>
      </c>
      <c r="D38" s="63">
        <v>300</v>
      </c>
      <c r="E38">
        <v>500</v>
      </c>
      <c r="I38" s="91" t="s">
        <v>56</v>
      </c>
      <c r="J38" s="40">
        <v>942.4925625</v>
      </c>
      <c r="K38" s="40">
        <v>772.31484375</v>
      </c>
      <c r="L38" s="40">
        <v>969.061875</v>
      </c>
    </row>
    <row r="39" spans="9:9">
      <c r="I39" t="s">
        <v>57</v>
      </c>
    </row>
    <row r="40" spans="2:12">
      <c r="B40" s="45" t="s">
        <v>58</v>
      </c>
      <c r="C40" s="10"/>
      <c r="D40" s="71"/>
      <c r="E40" s="10">
        <v>1200</v>
      </c>
      <c r="H40" s="45" t="s">
        <v>6</v>
      </c>
      <c r="I40" s="10" t="s">
        <v>58</v>
      </c>
      <c r="J40" s="10"/>
      <c r="K40" s="10"/>
      <c r="L40" s="10">
        <v>1200</v>
      </c>
    </row>
    <row r="41" spans="2:12">
      <c r="B41" s="45" t="s">
        <v>59</v>
      </c>
      <c r="C41" s="72">
        <f>850+450+400</f>
        <v>1700</v>
      </c>
      <c r="D41" s="73">
        <v>1000</v>
      </c>
      <c r="E41" s="72">
        <f>280+980</f>
        <v>1260</v>
      </c>
      <c r="H41" s="45"/>
      <c r="I41" s="10" t="s">
        <v>59</v>
      </c>
      <c r="J41" s="10"/>
      <c r="K41" s="10"/>
      <c r="L41" s="10"/>
    </row>
    <row r="42" spans="2:12">
      <c r="B42" s="45" t="s">
        <v>60</v>
      </c>
      <c r="C42" s="72"/>
      <c r="D42" s="73">
        <f>6*350</f>
        <v>2100</v>
      </c>
      <c r="E42" s="72"/>
      <c r="H42" s="45"/>
      <c r="I42" s="10" t="s">
        <v>60</v>
      </c>
      <c r="J42" s="10"/>
      <c r="K42" s="10"/>
      <c r="L42" s="10"/>
    </row>
    <row r="43" spans="8:12">
      <c r="H43" s="45"/>
      <c r="I43" s="92"/>
      <c r="J43" s="92"/>
      <c r="K43" s="92"/>
      <c r="L43" s="92"/>
    </row>
    <row r="44" spans="2:12">
      <c r="B44" s="34" t="s">
        <v>61</v>
      </c>
      <c r="C44">
        <f>(C40+C41)*12</f>
        <v>20400</v>
      </c>
      <c r="D44" s="63">
        <f>D42+(D41*12)</f>
        <v>14100</v>
      </c>
      <c r="E44">
        <f>(E40+E41)*12</f>
        <v>29520</v>
      </c>
      <c r="H44" s="45"/>
      <c r="I44" s="45" t="s">
        <v>62</v>
      </c>
      <c r="J44" s="27">
        <v>-1175.82589583333</v>
      </c>
      <c r="K44" s="27">
        <v>-1005.64817708333</v>
      </c>
      <c r="L44" s="27">
        <v>30.9381250000001</v>
      </c>
    </row>
    <row r="45" ht="30" spans="2:12">
      <c r="B45" s="74" t="s">
        <v>63</v>
      </c>
      <c r="C45" s="40">
        <f>(C34*12)+((C35+C36+C37+C38)+(30%*C44))</f>
        <v>19875.91</v>
      </c>
      <c r="D45" s="58">
        <f>(D34*12)+((D35+D37+D38)+(30%*D44))</f>
        <v>20532.3675</v>
      </c>
      <c r="E45" s="40">
        <f>(E34*12)+((E35+E36+E37+E38)+(30%*E44))</f>
        <v>28529.1425</v>
      </c>
      <c r="I45" s="34"/>
      <c r="J45" s="40"/>
      <c r="K45" s="40"/>
      <c r="L45" s="40"/>
    </row>
    <row r="46" ht="15.75" spans="4:9">
      <c r="D46" s="63"/>
      <c r="I46" t="s">
        <v>57</v>
      </c>
    </row>
    <row r="47" ht="30.75" spans="2:14">
      <c r="B47" s="75" t="s">
        <v>64</v>
      </c>
      <c r="C47" s="76">
        <f>C44-C45</f>
        <v>524.09</v>
      </c>
      <c r="D47" s="58">
        <f>D44-D45</f>
        <v>-6432.3675</v>
      </c>
      <c r="E47" s="76">
        <f>E44-E45</f>
        <v>990.857500000002</v>
      </c>
      <c r="H47" s="45" t="s">
        <v>65</v>
      </c>
      <c r="I47" s="10" t="s">
        <v>58</v>
      </c>
      <c r="J47" s="10"/>
      <c r="K47" s="10"/>
      <c r="L47" s="10">
        <v>1450</v>
      </c>
      <c r="N47" t="s">
        <v>66</v>
      </c>
    </row>
    <row r="48" ht="15.75" spans="8:14">
      <c r="H48" s="45"/>
      <c r="I48" s="10" t="s">
        <v>59</v>
      </c>
      <c r="J48" s="10">
        <v>850</v>
      </c>
      <c r="K48" s="10"/>
      <c r="L48" s="10">
        <v>800</v>
      </c>
      <c r="N48" t="s">
        <v>67</v>
      </c>
    </row>
    <row r="49" ht="15.75" spans="2:14">
      <c r="B49" s="77" t="s">
        <v>68</v>
      </c>
      <c r="D49" s="76">
        <f>C47+E47</f>
        <v>1514.9475</v>
      </c>
      <c r="E49" s="78"/>
      <c r="H49" s="45"/>
      <c r="I49" s="10" t="s">
        <v>60</v>
      </c>
      <c r="J49" s="10">
        <v>500</v>
      </c>
      <c r="K49" s="10">
        <v>200</v>
      </c>
      <c r="L49" s="10"/>
      <c r="N49" t="s">
        <v>69</v>
      </c>
    </row>
    <row r="50" spans="4:12">
      <c r="D50" s="51">
        <f>D49/((C22+E22+200000))</f>
        <v>0.00231289694656489</v>
      </c>
      <c r="H50" s="45"/>
      <c r="I50" s="92"/>
      <c r="J50" s="92"/>
      <c r="K50" s="92"/>
      <c r="L50" s="92"/>
    </row>
    <row r="51" spans="8:12">
      <c r="H51" s="45"/>
      <c r="I51" s="45" t="s">
        <v>62</v>
      </c>
      <c r="J51" s="93">
        <v>174.174104166667</v>
      </c>
      <c r="K51" s="94">
        <v>-805.648177083333</v>
      </c>
      <c r="L51" s="93">
        <v>1080.938125</v>
      </c>
    </row>
    <row r="53" spans="4:12">
      <c r="D53" s="34"/>
      <c r="I53" t="s">
        <v>46</v>
      </c>
      <c r="J53">
        <v>67000</v>
      </c>
      <c r="K53" s="40"/>
      <c r="L53">
        <v>33000</v>
      </c>
    </row>
    <row r="54" spans="9:9">
      <c r="I54" t="s">
        <v>57</v>
      </c>
    </row>
    <row r="55" spans="8:12">
      <c r="H55" s="45" t="s">
        <v>65</v>
      </c>
      <c r="I55" s="10" t="s">
        <v>58</v>
      </c>
      <c r="J55" s="10"/>
      <c r="K55" s="92"/>
      <c r="L55" s="10">
        <v>1450</v>
      </c>
    </row>
    <row r="56" spans="8:12">
      <c r="H56" s="45"/>
      <c r="I56" s="10" t="s">
        <v>59</v>
      </c>
      <c r="J56" s="10">
        <v>850</v>
      </c>
      <c r="K56" s="92"/>
      <c r="L56" s="10">
        <v>800</v>
      </c>
    </row>
    <row r="57" spans="8:12">
      <c r="H57" s="45"/>
      <c r="I57" s="10" t="s">
        <v>60</v>
      </c>
      <c r="J57" s="10">
        <v>500</v>
      </c>
      <c r="K57" s="92"/>
      <c r="L57" s="10"/>
    </row>
    <row r="58" spans="8:12">
      <c r="H58" s="45"/>
      <c r="I58" s="92"/>
      <c r="J58" s="92"/>
      <c r="K58" s="92"/>
      <c r="L58" s="92"/>
    </row>
    <row r="59" spans="8:12">
      <c r="H59" s="45"/>
      <c r="I59" s="45" t="s">
        <v>62</v>
      </c>
      <c r="J59" s="93">
        <v>303.549104166667</v>
      </c>
      <c r="K59" s="95"/>
      <c r="L59" s="93">
        <v>1080.938125</v>
      </c>
    </row>
    <row r="61" spans="3:3">
      <c r="C61" s="40"/>
    </row>
    <row r="62" spans="2:3">
      <c r="B62" s="7"/>
      <c r="C62" s="40"/>
    </row>
  </sheetData>
  <mergeCells count="5">
    <mergeCell ref="A35:A38"/>
    <mergeCell ref="H6:H7"/>
    <mergeCell ref="H40:H44"/>
    <mergeCell ref="H47:H51"/>
    <mergeCell ref="H55:H59"/>
  </mergeCells>
  <hyperlinks>
    <hyperlink ref="I12" r:id="rId3" display="Calculette pret immobilier - Calculatrice credit immobilier - Meilleurtaux" tooltip="https://www.meilleurtaux.com/credit-immobilier/simulation-de-pret-immobilier/calcul-des-mensualites.html"/>
    <hyperlink ref="I13" r:id="rId3" display="https://www.meilleurtaux.com/credit-immobilier/simulation-de-pret-immobilier/calcul-des-mensualites.html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opLeftCell="H1" workbookViewId="0">
      <pane ySplit="1" topLeftCell="A14" activePane="bottomLeft" state="frozen"/>
      <selection/>
      <selection pane="bottomLeft" activeCell="P29" sqref="P29"/>
    </sheetView>
  </sheetViews>
  <sheetFormatPr defaultColWidth="9.14285714285714" defaultRowHeight="15"/>
  <cols>
    <col min="2" max="2" width="19.7142857142857" customWidth="1"/>
    <col min="8" max="8" width="13.7142857142857" style="4" customWidth="1"/>
    <col min="9" max="9" width="45" customWidth="1"/>
    <col min="10" max="10" width="10.8571428571429"/>
    <col min="11" max="11" width="10.4285714285714" customWidth="1"/>
    <col min="12" max="12" width="38.4285714285714" customWidth="1"/>
    <col min="13" max="13" width="12.8571428571429"/>
    <col min="15" max="15" width="9.57142857142857" customWidth="1"/>
    <col min="16" max="16" width="44.1428571428571" customWidth="1"/>
    <col min="17" max="17" width="14.1428571428571"/>
    <col min="19" max="19" width="14.5714285714286" customWidth="1"/>
  </cols>
  <sheetData>
    <row r="1" ht="40.5" spans="1:1">
      <c r="A1" s="5" t="s">
        <v>70</v>
      </c>
    </row>
    <row r="3" spans="1:1">
      <c r="A3" t="s">
        <v>71</v>
      </c>
    </row>
    <row r="4" spans="2:19">
      <c r="B4" s="6" t="s">
        <v>72</v>
      </c>
      <c r="H4" s="4">
        <f>J30</f>
        <v>100600</v>
      </c>
      <c r="S4" s="28" t="s">
        <v>73</v>
      </c>
    </row>
    <row r="5" spans="2:22">
      <c r="B5" s="6" t="s">
        <v>74</v>
      </c>
      <c r="H5" s="4">
        <f>R20</f>
        <v>13750</v>
      </c>
      <c r="P5" s="7" t="s">
        <v>75</v>
      </c>
      <c r="Q5" s="29">
        <f>Q10-Q7</f>
        <v>195490</v>
      </c>
      <c r="S5" s="30">
        <f>Q7/Q5</f>
        <v>0.406721571435879</v>
      </c>
      <c r="U5" s="25">
        <f>Q5/12</f>
        <v>16290.8333333333</v>
      </c>
      <c r="V5" t="s">
        <v>76</v>
      </c>
    </row>
    <row r="6" spans="2:22">
      <c r="B6" s="6" t="s">
        <v>77</v>
      </c>
      <c r="H6" s="4">
        <f>K9</f>
        <v>227443.088919633</v>
      </c>
      <c r="I6" s="7" t="s">
        <v>78</v>
      </c>
      <c r="J6" s="8">
        <f>K9/(Q10/360)</f>
        <v>297.743680040246</v>
      </c>
      <c r="P6" s="7" t="s">
        <v>79</v>
      </c>
      <c r="Q6" s="29">
        <f>SUM(Q23:Q26)</f>
        <v>65760</v>
      </c>
      <c r="U6" s="25">
        <v>17</v>
      </c>
      <c r="V6" t="s">
        <v>80</v>
      </c>
    </row>
    <row r="7" spans="2:22">
      <c r="B7" t="s">
        <v>81</v>
      </c>
      <c r="P7" s="7" t="s">
        <v>82</v>
      </c>
      <c r="Q7" s="31">
        <f>(Q6+Q8)</f>
        <v>79510</v>
      </c>
      <c r="R7" s="32">
        <f>Q7/Q10</f>
        <v>0.289127272727273</v>
      </c>
      <c r="U7" s="33">
        <f>U5/U6</f>
        <v>958.28431372549</v>
      </c>
      <c r="V7" t="s">
        <v>83</v>
      </c>
    </row>
    <row r="8" spans="16:18">
      <c r="P8" s="7" t="s">
        <v>84</v>
      </c>
      <c r="Q8" s="29">
        <f>R8*Q10</f>
        <v>13750</v>
      </c>
      <c r="R8" s="32">
        <v>0.05</v>
      </c>
    </row>
    <row r="9" spans="1:17">
      <c r="A9" t="s">
        <v>85</v>
      </c>
      <c r="I9" s="9" t="s">
        <v>86</v>
      </c>
      <c r="J9" s="10"/>
      <c r="K9" s="11">
        <f>J10/((J12-J11)/J12)</f>
        <v>227443.088919633</v>
      </c>
      <c r="P9" s="7"/>
      <c r="Q9" s="34"/>
    </row>
    <row r="10" ht="21" spans="2:17">
      <c r="B10" t="s">
        <v>87</v>
      </c>
      <c r="I10" s="10" t="s">
        <v>88</v>
      </c>
      <c r="J10" s="12">
        <f>(Q6)</f>
        <v>65760</v>
      </c>
      <c r="K10" s="10"/>
      <c r="P10" s="7" t="s">
        <v>89</v>
      </c>
      <c r="Q10" s="35">
        <v>275000</v>
      </c>
    </row>
    <row r="11" spans="2:11">
      <c r="B11" t="s">
        <v>90</v>
      </c>
      <c r="I11" s="10" t="s">
        <v>91</v>
      </c>
      <c r="J11" s="12">
        <f>Q5</f>
        <v>195490</v>
      </c>
      <c r="K11" s="10"/>
    </row>
    <row r="12" spans="2:11">
      <c r="B12" t="s">
        <v>92</v>
      </c>
      <c r="I12" s="10" t="s">
        <v>93</v>
      </c>
      <c r="J12" s="12">
        <f>Q10</f>
        <v>275000</v>
      </c>
      <c r="K12" s="10"/>
    </row>
    <row r="13" spans="9:9">
      <c r="I13" t="s">
        <v>94</v>
      </c>
    </row>
    <row r="20" spans="9:18">
      <c r="I20" s="13" t="s">
        <v>95</v>
      </c>
      <c r="J20" s="14"/>
      <c r="K20" s="14"/>
      <c r="L20" s="15"/>
      <c r="O20" s="16" t="s">
        <v>96</v>
      </c>
      <c r="P20" s="17"/>
      <c r="Q20" s="17"/>
      <c r="R20" s="36">
        <f>Q21-(SUM(Q22:Q26))</f>
        <v>13750</v>
      </c>
    </row>
    <row r="21" spans="9:17">
      <c r="I21" s="18" t="s">
        <v>97</v>
      </c>
      <c r="J21" s="18"/>
      <c r="K21" s="19" t="s">
        <v>98</v>
      </c>
      <c r="L21" s="20"/>
      <c r="O21" t="s">
        <v>99</v>
      </c>
      <c r="Q21" s="37">
        <f>Q10</f>
        <v>275000</v>
      </c>
    </row>
    <row r="22" spans="9:19">
      <c r="I22" s="21" t="s">
        <v>100</v>
      </c>
      <c r="J22" s="22">
        <f>(38*1200)+25000</f>
        <v>70600</v>
      </c>
      <c r="K22" s="22">
        <v>100000</v>
      </c>
      <c r="L22" s="10" t="s">
        <v>101</v>
      </c>
      <c r="P22" t="s">
        <v>102</v>
      </c>
      <c r="Q22" s="38">
        <f>Q5</f>
        <v>195490</v>
      </c>
      <c r="S22" s="25">
        <f>Q22/12</f>
        <v>16290.8333333333</v>
      </c>
    </row>
    <row r="23" spans="9:19">
      <c r="I23" s="21" t="s">
        <v>103</v>
      </c>
      <c r="J23" s="22">
        <v>5000</v>
      </c>
      <c r="K23" s="10"/>
      <c r="L23" s="10" t="s">
        <v>104</v>
      </c>
      <c r="P23" s="10" t="s">
        <v>105</v>
      </c>
      <c r="Q23" s="12">
        <f>S23*12</f>
        <v>7200</v>
      </c>
      <c r="S23">
        <v>600</v>
      </c>
    </row>
    <row r="24" spans="9:20">
      <c r="I24" s="21" t="s">
        <v>106</v>
      </c>
      <c r="J24" s="22">
        <v>10000</v>
      </c>
      <c r="K24" s="10"/>
      <c r="L24" s="10" t="s">
        <v>107</v>
      </c>
      <c r="P24" s="10" t="s">
        <v>108</v>
      </c>
      <c r="Q24" s="12">
        <f>(S24*1.3)*12</f>
        <v>54600</v>
      </c>
      <c r="S24">
        <v>3500</v>
      </c>
      <c r="T24">
        <f>30%*S24</f>
        <v>1050</v>
      </c>
    </row>
    <row r="25" spans="9:19">
      <c r="I25" s="21" t="s">
        <v>109</v>
      </c>
      <c r="J25" s="22">
        <v>3000</v>
      </c>
      <c r="K25" s="10"/>
      <c r="L25" s="10"/>
      <c r="P25" s="10" t="s">
        <v>110</v>
      </c>
      <c r="Q25" s="12">
        <f>S25*12</f>
        <v>2400</v>
      </c>
      <c r="S25">
        <v>200</v>
      </c>
    </row>
    <row r="26" spans="9:19">
      <c r="I26" s="21" t="s">
        <v>111</v>
      </c>
      <c r="J26" s="22">
        <v>1500</v>
      </c>
      <c r="K26" s="10"/>
      <c r="L26" s="10"/>
      <c r="P26" s="10" t="s">
        <v>112</v>
      </c>
      <c r="Q26" s="12">
        <f>S26*12</f>
        <v>1560</v>
      </c>
      <c r="S26">
        <v>130</v>
      </c>
    </row>
    <row r="27" spans="9:12">
      <c r="I27" s="21" t="s">
        <v>113</v>
      </c>
      <c r="J27" s="22">
        <f>3*3500</f>
        <v>10500</v>
      </c>
      <c r="K27" s="10"/>
      <c r="L27" s="10"/>
    </row>
    <row r="28" spans="9:12">
      <c r="I28" s="21"/>
      <c r="J28" s="10"/>
      <c r="K28" s="10"/>
      <c r="L28" s="10"/>
    </row>
    <row r="29" spans="9:12">
      <c r="I29" s="21"/>
      <c r="J29" s="10"/>
      <c r="K29" s="10"/>
      <c r="L29" s="10"/>
    </row>
    <row r="30" spans="9:12">
      <c r="I30" s="23" t="s">
        <v>114</v>
      </c>
      <c r="J30" s="11">
        <f>SUM(J22:J28)</f>
        <v>100600</v>
      </c>
      <c r="K30" s="10"/>
      <c r="L30" s="10"/>
    </row>
    <row r="32" spans="9:18">
      <c r="I32" t="s">
        <v>115</v>
      </c>
      <c r="P32" t="s">
        <v>116</v>
      </c>
      <c r="Q32" s="25">
        <v>45</v>
      </c>
      <c r="R32" s="25">
        <v>50</v>
      </c>
    </row>
    <row r="33" spans="10:20">
      <c r="J33" s="24" t="s">
        <v>117</v>
      </c>
      <c r="P33" t="s">
        <v>118</v>
      </c>
      <c r="Q33">
        <f>10%*78%*4500</f>
        <v>351</v>
      </c>
      <c r="R33">
        <f>R34/R32</f>
        <v>458.333333333333</v>
      </c>
      <c r="S33" s="39" t="s">
        <v>119</v>
      </c>
      <c r="T33" s="40">
        <f>R33/12</f>
        <v>38.1944444444444</v>
      </c>
    </row>
    <row r="34" spans="9:18">
      <c r="I34" t="s">
        <v>120</v>
      </c>
      <c r="J34">
        <v>5</v>
      </c>
      <c r="K34" s="25">
        <f>$Q$21*(J34/100)</f>
        <v>13750</v>
      </c>
      <c r="P34" s="7" t="s">
        <v>121</v>
      </c>
      <c r="Q34" s="25">
        <f>Q33*Q32</f>
        <v>15795</v>
      </c>
      <c r="R34" s="25">
        <f>R35/12</f>
        <v>22916.6666666667</v>
      </c>
    </row>
    <row r="35" spans="9:18">
      <c r="I35" t="s">
        <v>122</v>
      </c>
      <c r="J35">
        <v>8</v>
      </c>
      <c r="K35" s="25">
        <f t="shared" ref="K35:K45" si="0">$Q$21*(J35/100)</f>
        <v>22000</v>
      </c>
      <c r="Q35" s="25">
        <f>Q34*12</f>
        <v>189540</v>
      </c>
      <c r="R35" s="25">
        <f>Q21</f>
        <v>275000</v>
      </c>
    </row>
    <row r="36" spans="9:11">
      <c r="I36" t="s">
        <v>123</v>
      </c>
      <c r="J36">
        <v>8</v>
      </c>
      <c r="K36" s="25">
        <f t="shared" si="0"/>
        <v>22000</v>
      </c>
    </row>
    <row r="37" spans="9:11">
      <c r="I37" t="s">
        <v>124</v>
      </c>
      <c r="J37">
        <v>8</v>
      </c>
      <c r="K37" s="25">
        <f t="shared" si="0"/>
        <v>22000</v>
      </c>
    </row>
    <row r="38" spans="9:19">
      <c r="I38" t="s">
        <v>125</v>
      </c>
      <c r="J38">
        <v>12</v>
      </c>
      <c r="K38" s="25">
        <f t="shared" si="0"/>
        <v>33000</v>
      </c>
      <c r="O38" s="10" t="s">
        <v>126</v>
      </c>
      <c r="P38" s="10"/>
      <c r="Q38" s="10"/>
      <c r="R38" s="10"/>
      <c r="S38" s="10"/>
    </row>
    <row r="39" spans="9:19">
      <c r="I39" t="s">
        <v>127</v>
      </c>
      <c r="J39">
        <v>12</v>
      </c>
      <c r="K39" s="25">
        <f t="shared" si="0"/>
        <v>33000</v>
      </c>
      <c r="O39" s="10"/>
      <c r="P39" s="26" t="s">
        <v>128</v>
      </c>
      <c r="Q39" s="10" t="s">
        <v>129</v>
      </c>
      <c r="R39" s="41" t="s">
        <v>130</v>
      </c>
      <c r="S39" s="10" t="s">
        <v>131</v>
      </c>
    </row>
    <row r="40" spans="9:19">
      <c r="I40" t="s">
        <v>132</v>
      </c>
      <c r="J40">
        <v>10</v>
      </c>
      <c r="K40" s="25">
        <f t="shared" si="0"/>
        <v>27500</v>
      </c>
      <c r="O40" s="10"/>
      <c r="P40" s="10" t="s">
        <v>133</v>
      </c>
      <c r="Q40" s="10">
        <v>150</v>
      </c>
      <c r="R40" s="41">
        <v>350</v>
      </c>
      <c r="S40" s="10">
        <f>Q40+R40</f>
        <v>500</v>
      </c>
    </row>
    <row r="41" spans="9:19">
      <c r="I41" t="s">
        <v>134</v>
      </c>
      <c r="J41">
        <v>1</v>
      </c>
      <c r="K41" s="25">
        <f t="shared" si="0"/>
        <v>2750</v>
      </c>
      <c r="O41" s="27">
        <f>4524*78%</f>
        <v>3528.72</v>
      </c>
      <c r="P41" s="10" t="s">
        <v>135</v>
      </c>
      <c r="Q41" s="27">
        <f>Q40/$O$41*100</f>
        <v>4.25083316330001</v>
      </c>
      <c r="R41" s="27">
        <f>R40/$O$41*100</f>
        <v>9.91861071436668</v>
      </c>
      <c r="S41" s="27">
        <f>S40/$O$41*100</f>
        <v>14.1694438776667</v>
      </c>
    </row>
    <row r="42" spans="9:19">
      <c r="I42" t="s">
        <v>136</v>
      </c>
      <c r="J42">
        <v>8</v>
      </c>
      <c r="K42" s="25">
        <f t="shared" si="0"/>
        <v>22000</v>
      </c>
      <c r="O42" s="10"/>
      <c r="P42" s="10" t="s">
        <v>137</v>
      </c>
      <c r="Q42" s="10">
        <v>1</v>
      </c>
      <c r="R42" s="41">
        <v>2</v>
      </c>
      <c r="S42" s="10">
        <f>Q42+R42</f>
        <v>3</v>
      </c>
    </row>
    <row r="43" spans="9:19">
      <c r="I43" t="s">
        <v>138</v>
      </c>
      <c r="J43">
        <v>8</v>
      </c>
      <c r="K43" s="25">
        <f t="shared" si="0"/>
        <v>22000</v>
      </c>
      <c r="O43" s="10"/>
      <c r="P43" s="10" t="s">
        <v>139</v>
      </c>
      <c r="Q43" s="12">
        <v>18</v>
      </c>
      <c r="R43" s="42">
        <v>35</v>
      </c>
      <c r="S43" s="12">
        <f>R43+Q43</f>
        <v>53</v>
      </c>
    </row>
    <row r="44" spans="9:19">
      <c r="I44" t="s">
        <v>140</v>
      </c>
      <c r="J44">
        <v>8</v>
      </c>
      <c r="K44" s="25">
        <f t="shared" si="0"/>
        <v>22000</v>
      </c>
      <c r="O44" s="10"/>
      <c r="P44" s="10" t="s">
        <v>121</v>
      </c>
      <c r="Q44" s="12">
        <f>Q43*Q42*Q40</f>
        <v>2700</v>
      </c>
      <c r="R44" s="42">
        <f>R43*R42*R40</f>
        <v>24500</v>
      </c>
      <c r="S44" s="12">
        <f>S43*S42*S40</f>
        <v>79500</v>
      </c>
    </row>
    <row r="45" spans="9:11">
      <c r="I45" t="s">
        <v>141</v>
      </c>
      <c r="J45">
        <v>12</v>
      </c>
      <c r="K45" s="25">
        <f t="shared" si="0"/>
        <v>33000</v>
      </c>
    </row>
    <row r="46" spans="18:18">
      <c r="R46" s="25"/>
    </row>
    <row r="47" spans="11:11">
      <c r="K47" s="25">
        <f>AVERAGE(K34:K45)</f>
        <v>22916.6666666667</v>
      </c>
    </row>
  </sheetData>
  <mergeCells count="3">
    <mergeCell ref="I20:L20"/>
    <mergeCell ref="I21:J21"/>
    <mergeCell ref="K21:L21"/>
  </mergeCells>
  <hyperlinks>
    <hyperlink ref="B4" location="'Plan de Financement'!I20" display="PLAN DE TRESORERIE"/>
    <hyperlink ref="B5" location="'Plan de Financement'!O20" display="COMPTE DE RESULTAT"/>
    <hyperlink ref="B6" location="'Plan de Financement'!K9" display="SEUIL DE RENTABILIT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9"/>
  <sheetViews>
    <sheetView workbookViewId="0">
      <selection activeCell="B20" sqref="B20"/>
    </sheetView>
  </sheetViews>
  <sheetFormatPr defaultColWidth="9.14285714285714" defaultRowHeight="15" outlineLevelCol="1"/>
  <cols>
    <col min="2" max="2" width="144.857142857143" customWidth="1"/>
  </cols>
  <sheetData>
    <row r="2" spans="1:1">
      <c r="A2" s="1" t="s">
        <v>142</v>
      </c>
    </row>
    <row r="3" spans="2:2">
      <c r="B3" s="2" t="s">
        <v>143</v>
      </c>
    </row>
    <row r="4" spans="2:2">
      <c r="B4" s="2" t="s">
        <v>144</v>
      </c>
    </row>
    <row r="5" spans="2:2">
      <c r="B5" s="3" t="s">
        <v>145</v>
      </c>
    </row>
    <row r="6" spans="2:2">
      <c r="B6" s="3" t="s">
        <v>146</v>
      </c>
    </row>
    <row r="7" spans="2:2">
      <c r="B7" s="3" t="s">
        <v>147</v>
      </c>
    </row>
    <row r="8" spans="2:2">
      <c r="B8" s="3" t="s">
        <v>148</v>
      </c>
    </row>
    <row r="9" spans="2:2">
      <c r="B9" s="3" t="s">
        <v>149</v>
      </c>
    </row>
    <row r="11" spans="2:2">
      <c r="B11" s="2" t="s">
        <v>150</v>
      </c>
    </row>
    <row r="12" spans="2:2">
      <c r="B12" s="2"/>
    </row>
    <row r="13" spans="2:2">
      <c r="B13" s="2" t="s">
        <v>151</v>
      </c>
    </row>
    <row r="14" spans="2:2">
      <c r="B14" s="3" t="s">
        <v>152</v>
      </c>
    </row>
    <row r="15" spans="2:2">
      <c r="B15" s="3" t="s">
        <v>153</v>
      </c>
    </row>
    <row r="16" spans="2:2">
      <c r="B16" s="3" t="s">
        <v>154</v>
      </c>
    </row>
    <row r="17" spans="2:2">
      <c r="B17" s="3" t="s">
        <v>155</v>
      </c>
    </row>
    <row r="18" spans="2:2">
      <c r="B18" s="3" t="s">
        <v>156</v>
      </c>
    </row>
    <row r="19" spans="2:2">
      <c r="B19" s="3" t="s">
        <v>157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4"/>
  <sheetViews>
    <sheetView workbookViewId="0">
      <selection activeCell="E17" sqref="E17"/>
    </sheetView>
  </sheetViews>
  <sheetFormatPr defaultColWidth="9.14285714285714" defaultRowHeight="15" outlineLevelRow="3" outlineLevelCol="1"/>
  <sheetData>
    <row r="3" spans="2:2">
      <c r="B3" t="s">
        <v>158</v>
      </c>
    </row>
    <row r="4" spans="2:2">
      <c r="B4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Projet Immo</vt:lpstr>
      <vt:lpstr>Plan de Financement</vt:lpstr>
      <vt:lpstr>Comptes annuels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marc_</dc:creator>
  <cp:lastModifiedBy>marc_</cp:lastModifiedBy>
  <dcterms:created xsi:type="dcterms:W3CDTF">2026-02-09T10:56:00Z</dcterms:created>
  <dcterms:modified xsi:type="dcterms:W3CDTF">2026-02-24T09:24:32Z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4C1E8E4D81BE45F8B35BCAC658F06BB1_11</vt:lpwstr>
  </property>
  <property fmtid="{D5CDD505-2E9C-101B-9397-08002B2CF9AE}" pid="3" name="KSOProductBuildVer">
    <vt:lpwstr>1033-12.2.0.23196</vt:lpwstr>
  </property>
</Properties>
</file>